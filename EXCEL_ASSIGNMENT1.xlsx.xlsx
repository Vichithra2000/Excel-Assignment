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C519F97-037F-4531-8689-72B6091F97DD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2" i="3" l="1"/>
  <c r="M15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M14" i="3"/>
  <c r="M10" i="3"/>
  <c r="M9" i="3"/>
  <c r="M5" i="3"/>
  <c r="M4" i="3"/>
  <c r="M3" i="3"/>
</calcChain>
</file>

<file path=xl/sharedStrings.xml><?xml version="1.0" encoding="utf-8"?>
<sst xmlns="http://schemas.openxmlformats.org/spreadsheetml/2006/main" count="317" uniqueCount="126">
  <si>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</si>
  <si>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</si>
  <si>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</si>
  <si>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</si>
  <si>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</si>
  <si>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</si>
  <si>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</si>
  <si>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</si>
  <si>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</si>
  <si>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</si>
  <si>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</si>
  <si>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</si>
  <si>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</si>
  <si>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</si>
  <si>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</si>
  <si>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</si>
  <si>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</si>
  <si>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</si>
  <si>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</si>
  <si>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</si>
  <si>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</si>
  <si>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</si>
  <si>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</si>
  <si>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</si>
  <si>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</si>
  <si>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</si>
  <si>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</si>
  <si>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</si>
  <si>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</si>
  <si>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</si>
  <si>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</si>
  <si>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</si>
  <si>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</si>
  <si>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</si>
  <si>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</si>
  <si>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</si>
  <si>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</si>
  <si>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</si>
  <si>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</si>
  <si>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</si>
  <si>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</si>
  <si>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</si>
  <si>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</si>
  <si>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</si>
  <si>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</si>
  <si>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</si>
  <si>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</si>
  <si>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</si>
  <si>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</si>
  <si>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</si>
  <si>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</si>
  <si>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</si>
  <si>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</si>
  <si>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</si>
  <si>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</si>
  <si>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</si>
  <si>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</si>
  <si>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</si>
  <si>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</si>
  <si>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</si>
  <si>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</si>
  <si>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</si>
  <si>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</si>
  <si>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</si>
  <si>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</si>
  <si>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</si>
  <si>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</si>
  <si>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</si>
  <si>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</si>
  <si>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</si>
  <si>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</si>
  <si>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</si>
  <si>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</si>
  <si>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</si>
  <si>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</si>
  <si>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</si>
  <si>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</si>
  <si>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</si>
  <si>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</si>
  <si>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</si>
  <si>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</si>
  <si>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</si>
  <si>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</si>
  <si>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</si>
  <si>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</si>
  <si>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</si>
  <si>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</si>
  <si>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</si>
  <si>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</si>
  <si>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</si>
  <si>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</si>
  <si>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</si>
  <si>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</si>
  <si>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</si>
  <si>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</si>
  <si>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</si>
  <si>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</si>
  <si>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</si>
  <si>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</si>
  <si>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</si>
  <si>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</si>
  <si>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</si>
  <si>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</si>
  <si>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</si>
  <si>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</si>
  <si>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</si>
  <si>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</si>
  <si>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</si>
  <si>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</si>
  <si>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</si>
  <si>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</si>
  <si>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No.of products</t>
  </si>
  <si>
    <t>Average price</t>
  </si>
  <si>
    <r>
      <rPr>
        <b/>
        <sz val="14"/>
        <color rgb="FF000000"/>
        <rFont val="Arial"/>
        <family val="2"/>
        <scheme val="minor"/>
      </rPr>
      <t xml:space="preserve">1. </t>
    </r>
    <r>
      <rPr>
        <b/>
        <sz val="10"/>
        <color rgb="FF000000"/>
        <rFont val="Arial"/>
        <family val="2"/>
        <scheme val="minor"/>
      </rPr>
      <t xml:space="preserve">  SUM,COUNT,AVERAGE</t>
    </r>
  </si>
  <si>
    <t>Min price</t>
  </si>
  <si>
    <t>Max price</t>
  </si>
  <si>
    <t>Total price for electronics</t>
  </si>
  <si>
    <t>Count of products price lessthan $100</t>
  </si>
  <si>
    <t>Price range</t>
  </si>
  <si>
    <t>Day</t>
  </si>
  <si>
    <t>Country</t>
  </si>
  <si>
    <t>Month</t>
  </si>
  <si>
    <r>
      <rPr>
        <b/>
        <sz val="12"/>
        <color rgb="FF000000"/>
        <rFont val="Arial"/>
        <family val="2"/>
        <scheme val="minor"/>
      </rPr>
      <t>3</t>
    </r>
    <r>
      <rPr>
        <b/>
        <sz val="10"/>
        <color rgb="FF000000"/>
        <rFont val="Arial"/>
        <family val="2"/>
        <scheme val="minor"/>
      </rPr>
      <t>.       COLUMN E IS THE ANSWER</t>
    </r>
  </si>
  <si>
    <r>
      <rPr>
        <b/>
        <sz val="12"/>
        <color rgb="FF000000"/>
        <rFont val="Arial"/>
        <family val="2"/>
        <scheme val="minor"/>
      </rPr>
      <t>5</t>
    </r>
    <r>
      <rPr>
        <b/>
        <sz val="10"/>
        <color rgb="FF000000"/>
        <rFont val="Arial"/>
        <family val="2"/>
        <scheme val="minor"/>
      </rPr>
      <t>.    COLUMN H,I,J ARE THE ANSWERS</t>
    </r>
  </si>
  <si>
    <r>
      <rPr>
        <b/>
        <sz val="12"/>
        <color rgb="FF000000"/>
        <rFont val="Arial"/>
        <family val="2"/>
        <scheme val="minor"/>
      </rPr>
      <t>4</t>
    </r>
    <r>
      <rPr>
        <b/>
        <sz val="10"/>
        <color rgb="FF000000"/>
        <rFont val="Arial"/>
        <family val="2"/>
        <scheme val="minor"/>
      </rPr>
      <t>.          SUMIF() AND COUNTIF()</t>
    </r>
  </si>
  <si>
    <r>
      <rPr>
        <sz val="14"/>
        <color rgb="FF000000"/>
        <rFont val="Arial"/>
        <family val="2"/>
        <scheme val="minor"/>
      </rPr>
      <t xml:space="preserve">2.     </t>
    </r>
    <r>
      <rPr>
        <b/>
        <sz val="10"/>
        <color rgb="FF000000"/>
        <rFont val="Arial"/>
        <family val="2"/>
        <scheme val="minor"/>
      </rPr>
      <t>MIN AND 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</si>
</sst>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1" xfId="0" applyFont="1" applyBorder="1" applyAlignment="1"/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21" sqref="E21"/>
    </sheetView>
  </sheetViews>
  <sheetFormatPr defaultColWidth="12.5546875" defaultRowHeight="15" customHeight="1" x14ac:dyDescent="0.25"/>
  <cols>
    <col min="1" max="1" width="12.5546875" customWidth="1"/>
    <col min="2" max="2" width="7.44140625" customWidth="1"/>
    <col min="3" max="6" width="12.554687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XFD1048576"/>
    </sheetView>
  </sheetViews>
  <sheetFormatPr defaultColWidth="12.5546875" defaultRowHeight="15" customHeight="1" x14ac:dyDescent="0.25"/>
  <cols>
    <col min="1" max="1" width="12.5546875" customWidth="1"/>
    <col min="2" max="2" width="14.109375" customWidth="1"/>
    <col min="3" max="6" width="12.554687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B2F1-B8A1-440C-9CB0-270476685385}">
  <dimension ref="A1:M1000"/>
  <sheetViews>
    <sheetView tabSelected="1" workbookViewId="0">
      <selection activeCell="N20" sqref="N20"/>
    </sheetView>
  </sheetViews>
  <sheetFormatPr defaultColWidth="12.5546875" defaultRowHeight="13.2" x14ac:dyDescent="0.25"/>
  <cols>
    <col min="2" max="2" width="14.109375" customWidth="1"/>
    <col min="5" max="5" width="14.6640625" customWidth="1"/>
    <col min="6" max="6" width="13.6640625" customWidth="1"/>
    <col min="12" max="12" width="32.554687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15" t="s">
        <v>118</v>
      </c>
      <c r="F1" s="5" t="s">
        <v>21</v>
      </c>
      <c r="G1" s="5" t="s">
        <v>22</v>
      </c>
      <c r="H1" s="5" t="s">
        <v>119</v>
      </c>
      <c r="I1" s="5" t="s">
        <v>120</v>
      </c>
      <c r="J1" s="5" t="s">
        <v>121</v>
      </c>
      <c r="K1" s="15"/>
    </row>
    <row r="2" spans="1:13" ht="15.75" customHeight="1" x14ac:dyDescent="0.3">
      <c r="A2" s="7" t="s">
        <v>23</v>
      </c>
      <c r="B2" s="7" t="s">
        <v>24</v>
      </c>
      <c r="C2" s="7" t="s">
        <v>25</v>
      </c>
      <c r="D2" s="7">
        <v>1000</v>
      </c>
      <c r="E2" s="7" t="str">
        <f>IF(D2&gt;=500,"High Price","Standard Price")</f>
        <v>High Price</v>
      </c>
      <c r="F2" s="7">
        <v>30</v>
      </c>
      <c r="G2" s="7" t="s">
        <v>26</v>
      </c>
      <c r="H2" s="7" t="str">
        <f>LEFT(A2,2)</f>
        <v>28</v>
      </c>
      <c r="I2" s="7" t="str">
        <f>RIGHT(Sheet1!A2,2)</f>
        <v>US</v>
      </c>
      <c r="J2" s="7" t="str">
        <f>MID(A2,4,3)</f>
        <v>JAN</v>
      </c>
      <c r="L2" s="12" t="s">
        <v>113</v>
      </c>
      <c r="M2" s="13"/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 t="str">
        <f t="shared" ref="E3:E35" si="0">IF(D3&gt;=500,"High Price","Standard Price")</f>
        <v>Standard Price</v>
      </c>
      <c r="F3" s="8">
        <v>15</v>
      </c>
      <c r="G3" s="8" t="s">
        <v>30</v>
      </c>
      <c r="H3" s="8" t="str">
        <f t="shared" ref="H3:H37" si="1">LEFT(A3,2)</f>
        <v>15</v>
      </c>
      <c r="I3" s="8" t="str">
        <f>RIGHT(Sheet1!A3,2)</f>
        <v>US</v>
      </c>
      <c r="J3" s="8" t="str">
        <f t="shared" ref="J3:J35" si="2">MID(A3,4,3)</f>
        <v>FEB</v>
      </c>
      <c r="L3" s="11" t="s">
        <v>110</v>
      </c>
      <c r="M3" s="10">
        <f>SUM(Sheet1!D2:D35)</f>
        <v>10100</v>
      </c>
    </row>
    <row r="4" spans="1:13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 t="str">
        <f t="shared" si="0"/>
        <v>Standard Price</v>
      </c>
      <c r="F4" s="7">
        <v>40</v>
      </c>
      <c r="G4" s="7" t="s">
        <v>34</v>
      </c>
      <c r="H4" s="7" t="str">
        <f t="shared" si="1"/>
        <v>03</v>
      </c>
      <c r="I4" s="7" t="str">
        <f>RIGHT(Sheet1!A4,2)</f>
        <v>US</v>
      </c>
      <c r="J4" s="7" t="str">
        <f t="shared" si="2"/>
        <v>MAR</v>
      </c>
      <c r="L4" s="11" t="s">
        <v>111</v>
      </c>
      <c r="M4" s="10">
        <f>COUNTA(B2:B35)</f>
        <v>34</v>
      </c>
    </row>
    <row r="5" spans="1:13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 t="str">
        <f t="shared" si="0"/>
        <v>High Price</v>
      </c>
      <c r="F5" s="8">
        <v>25</v>
      </c>
      <c r="G5" s="8" t="s">
        <v>26</v>
      </c>
      <c r="H5" s="8" t="str">
        <f t="shared" si="1"/>
        <v>11</v>
      </c>
      <c r="I5" s="8" t="str">
        <f>RIGHT(Sheet1!A5,2)</f>
        <v>US</v>
      </c>
      <c r="J5" s="8" t="str">
        <f t="shared" si="2"/>
        <v>APR</v>
      </c>
      <c r="L5" s="11" t="s">
        <v>112</v>
      </c>
      <c r="M5" s="10">
        <f>AVERAGE(D2:D35)</f>
        <v>297.05882352941177</v>
      </c>
    </row>
    <row r="6" spans="1:13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 t="str">
        <f t="shared" si="0"/>
        <v>Standard Price</v>
      </c>
      <c r="F6" s="7">
        <v>20</v>
      </c>
      <c r="G6" s="7" t="s">
        <v>41</v>
      </c>
      <c r="H6" s="7" t="str">
        <f t="shared" si="1"/>
        <v>22</v>
      </c>
      <c r="I6" s="7" t="str">
        <f>RIGHT(Sheet1!A6,2)</f>
        <v>US</v>
      </c>
      <c r="J6" s="7" t="str">
        <f t="shared" si="2"/>
        <v>MAY</v>
      </c>
    </row>
    <row r="7" spans="1:13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 t="str">
        <f t="shared" si="0"/>
        <v>Standard Price</v>
      </c>
      <c r="F7" s="8">
        <v>45</v>
      </c>
      <c r="G7" s="8" t="s">
        <v>26</v>
      </c>
      <c r="H7" s="8" t="str">
        <f t="shared" si="1"/>
        <v>07</v>
      </c>
      <c r="I7" s="8" t="str">
        <f>RIGHT(Sheet1!A7,2)</f>
        <v>UK</v>
      </c>
      <c r="J7" s="8" t="str">
        <f t="shared" si="2"/>
        <v>JUN</v>
      </c>
    </row>
    <row r="8" spans="1:13" ht="15.75" customHeight="1" x14ac:dyDescent="0.3">
      <c r="A8" s="7" t="s">
        <v>45</v>
      </c>
      <c r="B8" s="7" t="s">
        <v>46</v>
      </c>
      <c r="C8" s="7" t="s">
        <v>47</v>
      </c>
      <c r="D8" s="7">
        <v>30</v>
      </c>
      <c r="E8" s="7" t="str">
        <f t="shared" si="0"/>
        <v>Standard Price</v>
      </c>
      <c r="F8" s="7">
        <v>5</v>
      </c>
      <c r="G8" s="7" t="s">
        <v>30</v>
      </c>
      <c r="H8" s="7" t="str">
        <f t="shared" si="1"/>
        <v>19</v>
      </c>
      <c r="I8" s="7" t="str">
        <f>RIGHT(Sheet1!A8,2)</f>
        <v>UK</v>
      </c>
      <c r="J8" s="7" t="str">
        <f t="shared" si="2"/>
        <v>JUL</v>
      </c>
      <c r="L8" s="14" t="s">
        <v>125</v>
      </c>
      <c r="M8" s="13"/>
    </row>
    <row r="9" spans="1:1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 t="str">
        <f t="shared" si="0"/>
        <v>Standard Price</v>
      </c>
      <c r="F9" s="8">
        <v>35</v>
      </c>
      <c r="G9" s="8" t="s">
        <v>34</v>
      </c>
      <c r="H9" s="8" t="str">
        <f t="shared" si="1"/>
        <v>23</v>
      </c>
      <c r="I9" s="8" t="str">
        <f>RIGHT(Sheet1!A9,2)</f>
        <v>UK</v>
      </c>
      <c r="J9" s="8" t="str">
        <f t="shared" si="2"/>
        <v>AUG</v>
      </c>
      <c r="L9" s="11" t="s">
        <v>114</v>
      </c>
      <c r="M9" s="10">
        <f>MIN(D2:D35)</f>
        <v>30</v>
      </c>
    </row>
    <row r="10" spans="1:13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 t="str">
        <f t="shared" si="0"/>
        <v>High Price</v>
      </c>
      <c r="F10" s="7">
        <v>50</v>
      </c>
      <c r="G10" s="7" t="s">
        <v>26</v>
      </c>
      <c r="H10" s="7" t="str">
        <f t="shared" si="1"/>
        <v>05</v>
      </c>
      <c r="I10" s="7" t="str">
        <f>RIGHT(Sheet1!A10,2)</f>
        <v>UK</v>
      </c>
      <c r="J10" s="7" t="str">
        <f t="shared" si="2"/>
        <v>SEP</v>
      </c>
      <c r="L10" s="11" t="s">
        <v>115</v>
      </c>
      <c r="M10" s="10">
        <f>MAX(D2:D35)</f>
        <v>1000</v>
      </c>
    </row>
    <row r="11" spans="1:1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 t="str">
        <f t="shared" si="0"/>
        <v>Standard Price</v>
      </c>
      <c r="F11" s="8">
        <v>10</v>
      </c>
      <c r="G11" s="8" t="s">
        <v>41</v>
      </c>
      <c r="H11" s="8" t="str">
        <f t="shared" si="1"/>
        <v>14</v>
      </c>
      <c r="I11" s="8" t="str">
        <f>RIGHT(Sheet1!A11,2)</f>
        <v>UK</v>
      </c>
      <c r="J11" s="8" t="str">
        <f t="shared" si="2"/>
        <v>OCT</v>
      </c>
    </row>
    <row r="12" spans="1:13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 t="str">
        <f t="shared" si="0"/>
        <v>High Price</v>
      </c>
      <c r="F12" s="7">
        <v>25</v>
      </c>
      <c r="G12" s="7" t="s">
        <v>26</v>
      </c>
      <c r="H12" s="7" t="str">
        <f t="shared" si="1"/>
        <v>17</v>
      </c>
      <c r="I12" s="7" t="str">
        <f>RIGHT(Sheet1!A12,2)</f>
        <v>IN</v>
      </c>
      <c r="J12" s="7" t="str">
        <f t="shared" si="2"/>
        <v>JUN</v>
      </c>
    </row>
    <row r="13" spans="1:13" ht="15.75" customHeight="1" x14ac:dyDescent="0.3">
      <c r="A13" s="8" t="s">
        <v>59</v>
      </c>
      <c r="B13" s="8" t="s">
        <v>28</v>
      </c>
      <c r="C13" s="8" t="s">
        <v>47</v>
      </c>
      <c r="D13" s="8">
        <v>90</v>
      </c>
      <c r="E13" s="8" t="str">
        <f t="shared" si="0"/>
        <v>Standard Price</v>
      </c>
      <c r="F13" s="8">
        <v>40</v>
      </c>
      <c r="G13" s="8" t="s">
        <v>30</v>
      </c>
      <c r="H13" s="8" t="str">
        <f t="shared" si="1"/>
        <v>25</v>
      </c>
      <c r="I13" s="8" t="str">
        <f>RIGHT(Sheet1!A13,2)</f>
        <v>AU</v>
      </c>
      <c r="J13" s="8" t="str">
        <f t="shared" si="2"/>
        <v>NOV</v>
      </c>
      <c r="L13" s="12" t="s">
        <v>124</v>
      </c>
      <c r="M13" s="13"/>
    </row>
    <row r="14" spans="1:13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 t="str">
        <f t="shared" si="0"/>
        <v>Standard Price</v>
      </c>
      <c r="F14" s="7">
        <v>35</v>
      </c>
      <c r="G14" s="7" t="s">
        <v>34</v>
      </c>
      <c r="H14" s="7" t="str">
        <f t="shared" si="1"/>
        <v>08</v>
      </c>
      <c r="I14" s="7" t="str">
        <f>RIGHT(Sheet1!A14,2)</f>
        <v>DE</v>
      </c>
      <c r="J14" s="7" t="str">
        <f t="shared" si="2"/>
        <v>DEC</v>
      </c>
      <c r="L14" s="11" t="s">
        <v>116</v>
      </c>
      <c r="M14" s="10">
        <f>SUMIF(Sheet1!G2:G35,Sheet1!G2,Sheet1!D2:D35)</f>
        <v>8050</v>
      </c>
    </row>
    <row r="15" spans="1:13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 t="str">
        <f t="shared" si="0"/>
        <v>Standard Price</v>
      </c>
      <c r="F15" s="8">
        <v>15</v>
      </c>
      <c r="G15" s="8" t="s">
        <v>26</v>
      </c>
      <c r="H15" s="8" t="str">
        <f t="shared" si="1"/>
        <v>18</v>
      </c>
      <c r="I15" s="8" t="str">
        <f>RIGHT(Sheet1!A15,2)</f>
        <v>CA</v>
      </c>
      <c r="J15" s="8" t="str">
        <f t="shared" si="2"/>
        <v>FEB</v>
      </c>
      <c r="L15" s="11" t="s">
        <v>117</v>
      </c>
      <c r="M15" s="10">
        <f>COUNTIF(D2:D35,"&lt;100")</f>
        <v>11</v>
      </c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 t="str">
        <f t="shared" si="0"/>
        <v>Standard Price</v>
      </c>
      <c r="F16" s="7">
        <v>20</v>
      </c>
      <c r="G16" s="7" t="s">
        <v>26</v>
      </c>
      <c r="H16" s="7" t="str">
        <f t="shared" si="1"/>
        <v>16</v>
      </c>
      <c r="I16" s="7" t="str">
        <f>RIGHT(Sheet1!A16,2)</f>
        <v>ES</v>
      </c>
      <c r="J16" s="7" t="str">
        <f t="shared" si="2"/>
        <v>APR</v>
      </c>
    </row>
    <row r="17" spans="1:12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 t="str">
        <f t="shared" si="0"/>
        <v>Standard Price</v>
      </c>
      <c r="F17" s="8">
        <v>35</v>
      </c>
      <c r="G17" s="8" t="s">
        <v>70</v>
      </c>
      <c r="H17" s="8" t="str">
        <f t="shared" si="1"/>
        <v>21</v>
      </c>
      <c r="I17" s="8" t="str">
        <f>RIGHT(Sheet1!A17,2)</f>
        <v>CA</v>
      </c>
      <c r="J17" s="8" t="str">
        <f t="shared" si="2"/>
        <v>AUG</v>
      </c>
    </row>
    <row r="18" spans="1:12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 t="str">
        <f t="shared" si="0"/>
        <v>Standard Price</v>
      </c>
      <c r="F18" s="7">
        <v>15</v>
      </c>
      <c r="G18" s="7" t="s">
        <v>26</v>
      </c>
      <c r="H18" s="7" t="str">
        <f t="shared" si="1"/>
        <v>20</v>
      </c>
      <c r="I18" s="7" t="str">
        <f>RIGHT(Sheet1!A18,2)</f>
        <v>CN</v>
      </c>
      <c r="J18" s="7" t="str">
        <f t="shared" si="2"/>
        <v>AUG</v>
      </c>
    </row>
    <row r="19" spans="1:12" ht="15.75" customHeight="1" x14ac:dyDescent="0.3">
      <c r="A19" s="8" t="s">
        <v>73</v>
      </c>
      <c r="B19" s="8" t="s">
        <v>24</v>
      </c>
      <c r="C19" s="8" t="s">
        <v>74</v>
      </c>
      <c r="D19" s="8">
        <v>980</v>
      </c>
      <c r="E19" s="8" t="str">
        <f t="shared" si="0"/>
        <v>High Price</v>
      </c>
      <c r="F19" s="8">
        <v>10</v>
      </c>
      <c r="G19" s="8" t="s">
        <v>26</v>
      </c>
      <c r="H19" s="8" t="str">
        <f t="shared" si="1"/>
        <v>27</v>
      </c>
      <c r="I19" s="8" t="str">
        <f>RIGHT(Sheet1!A19,2)</f>
        <v>IT</v>
      </c>
      <c r="J19" s="8" t="str">
        <f t="shared" si="2"/>
        <v>JAN</v>
      </c>
      <c r="L19" s="16" t="s">
        <v>122</v>
      </c>
    </row>
    <row r="20" spans="1:12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 t="str">
        <f t="shared" si="0"/>
        <v>Standard Price</v>
      </c>
      <c r="F20" s="7">
        <v>15</v>
      </c>
      <c r="G20" s="7" t="s">
        <v>30</v>
      </c>
      <c r="H20" s="7" t="str">
        <f t="shared" si="1"/>
        <v>01</v>
      </c>
      <c r="I20" s="7" t="str">
        <f>RIGHT(Sheet1!A20,2)</f>
        <v>UK</v>
      </c>
      <c r="J20" s="7" t="str">
        <f t="shared" si="2"/>
        <v>MAR</v>
      </c>
    </row>
    <row r="21" spans="1:12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 t="str">
        <f t="shared" si="0"/>
        <v>Standard Price</v>
      </c>
      <c r="F21" s="8">
        <v>10</v>
      </c>
      <c r="G21" s="8" t="s">
        <v>41</v>
      </c>
      <c r="H21" s="8" t="str">
        <f t="shared" si="1"/>
        <v>14</v>
      </c>
      <c r="I21" s="8" t="str">
        <f>RIGHT(Sheet1!A21,2)</f>
        <v>US</v>
      </c>
      <c r="J21" s="8" t="str">
        <f t="shared" si="2"/>
        <v>AUG</v>
      </c>
    </row>
    <row r="22" spans="1:12" ht="15.75" customHeight="1" x14ac:dyDescent="0.3">
      <c r="A22" s="7" t="s">
        <v>81</v>
      </c>
      <c r="B22" s="7" t="s">
        <v>82</v>
      </c>
      <c r="C22" s="7" t="s">
        <v>83</v>
      </c>
      <c r="D22" s="7">
        <v>700</v>
      </c>
      <c r="E22" s="7" t="str">
        <f t="shared" si="0"/>
        <v>High Price</v>
      </c>
      <c r="F22" s="7">
        <v>50</v>
      </c>
      <c r="G22" s="7" t="s">
        <v>26</v>
      </c>
      <c r="H22" s="7" t="str">
        <f t="shared" si="1"/>
        <v>14</v>
      </c>
      <c r="I22" s="7" t="str">
        <f>RIGHT(Sheet1!A22,2)</f>
        <v>RU</v>
      </c>
      <c r="J22" s="7" t="str">
        <f t="shared" si="2"/>
        <v>MAY</v>
      </c>
      <c r="L22" s="16" t="s">
        <v>123</v>
      </c>
    </row>
    <row r="23" spans="1:12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 t="str">
        <f t="shared" si="0"/>
        <v>Standard Price</v>
      </c>
      <c r="F23" s="8">
        <v>20</v>
      </c>
      <c r="G23" s="8" t="s">
        <v>34</v>
      </c>
      <c r="H23" s="8" t="str">
        <f t="shared" si="1"/>
        <v>09</v>
      </c>
      <c r="I23" s="8" t="str">
        <f>RIGHT(Sheet1!A23,2)</f>
        <v>CA</v>
      </c>
      <c r="J23" s="8" t="str">
        <f t="shared" si="2"/>
        <v>JAN</v>
      </c>
    </row>
    <row r="24" spans="1:12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 t="str">
        <f t="shared" si="0"/>
        <v>Standard Price</v>
      </c>
      <c r="F24" s="7">
        <v>30</v>
      </c>
      <c r="G24" s="7" t="s">
        <v>26</v>
      </c>
      <c r="H24" s="7" t="str">
        <f t="shared" si="1"/>
        <v>19</v>
      </c>
      <c r="I24" s="7" t="str">
        <f>RIGHT(Sheet1!A24,2)</f>
        <v>BR</v>
      </c>
      <c r="J24" s="7" t="str">
        <f t="shared" si="2"/>
        <v>JUL</v>
      </c>
    </row>
    <row r="25" spans="1:12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 t="str">
        <f t="shared" si="0"/>
        <v>Standard Price</v>
      </c>
      <c r="F25" s="8">
        <v>35</v>
      </c>
      <c r="G25" s="8" t="s">
        <v>70</v>
      </c>
      <c r="H25" s="8" t="str">
        <f t="shared" si="1"/>
        <v>21</v>
      </c>
      <c r="I25" s="8" t="str">
        <f>RIGHT(Sheet1!A25,2)</f>
        <v>CA</v>
      </c>
      <c r="J25" s="8" t="str">
        <f t="shared" si="2"/>
        <v>AUG</v>
      </c>
    </row>
    <row r="26" spans="1:12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 t="str">
        <f t="shared" si="0"/>
        <v>High Price</v>
      </c>
      <c r="F26" s="7">
        <v>45</v>
      </c>
      <c r="G26" s="7" t="s">
        <v>26</v>
      </c>
      <c r="H26" s="7" t="str">
        <f t="shared" si="1"/>
        <v>29</v>
      </c>
      <c r="I26" s="7" t="str">
        <f>RIGHT(Sheet1!A26,2)</f>
        <v>CA</v>
      </c>
      <c r="J26" s="7" t="str">
        <f t="shared" si="2"/>
        <v>SEP</v>
      </c>
    </row>
    <row r="27" spans="1:12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 t="str">
        <f t="shared" si="0"/>
        <v>Standard Price</v>
      </c>
      <c r="F27" s="8">
        <v>25</v>
      </c>
      <c r="G27" s="8" t="s">
        <v>30</v>
      </c>
      <c r="H27" s="8" t="str">
        <f t="shared" si="1"/>
        <v>03</v>
      </c>
      <c r="I27" s="8" t="str">
        <f>RIGHT(Sheet1!A27,2)</f>
        <v>CA</v>
      </c>
      <c r="J27" s="8" t="str">
        <f t="shared" si="2"/>
        <v>JUN</v>
      </c>
    </row>
    <row r="28" spans="1:12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 t="str">
        <f t="shared" si="0"/>
        <v>Standard Price</v>
      </c>
      <c r="F28" s="7">
        <v>40</v>
      </c>
      <c r="G28" s="7" t="s">
        <v>34</v>
      </c>
      <c r="H28" s="7" t="str">
        <f t="shared" si="1"/>
        <v>11</v>
      </c>
      <c r="I28" s="7" t="str">
        <f>RIGHT(Sheet1!A28,2)</f>
        <v>CA</v>
      </c>
      <c r="J28" s="7" t="str">
        <f t="shared" si="2"/>
        <v>JUL</v>
      </c>
    </row>
    <row r="29" spans="1:12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 t="str">
        <f t="shared" si="0"/>
        <v>Standard Price</v>
      </c>
      <c r="F29" s="8">
        <v>20</v>
      </c>
      <c r="G29" s="8" t="s">
        <v>26</v>
      </c>
      <c r="H29" s="8" t="str">
        <f t="shared" si="1"/>
        <v>16</v>
      </c>
      <c r="I29" s="8" t="str">
        <f>RIGHT(Sheet1!A29,2)</f>
        <v>ES</v>
      </c>
      <c r="J29" s="8" t="str">
        <f t="shared" si="2"/>
        <v>APR</v>
      </c>
    </row>
    <row r="30" spans="1:12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 t="str">
        <f t="shared" si="0"/>
        <v>Standard Price</v>
      </c>
      <c r="F30" s="7">
        <v>30</v>
      </c>
      <c r="G30" s="7" t="s">
        <v>30</v>
      </c>
      <c r="H30" s="7" t="str">
        <f t="shared" si="1"/>
        <v>07</v>
      </c>
      <c r="I30" s="7" t="str">
        <f>RIGHT(Sheet1!A30,2)</f>
        <v>CA</v>
      </c>
      <c r="J30" s="7" t="str">
        <f t="shared" si="2"/>
        <v>MAR</v>
      </c>
    </row>
    <row r="31" spans="1:12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 t="str">
        <f t="shared" si="0"/>
        <v>Standard Price</v>
      </c>
      <c r="F31" s="8">
        <v>10</v>
      </c>
      <c r="G31" s="8" t="s">
        <v>34</v>
      </c>
      <c r="H31" s="8" t="str">
        <f t="shared" si="1"/>
        <v>13</v>
      </c>
      <c r="I31" s="8" t="str">
        <f>RIGHT(Sheet1!A31,2)</f>
        <v>CA</v>
      </c>
      <c r="J31" s="8" t="str">
        <f t="shared" si="2"/>
        <v>APR</v>
      </c>
    </row>
    <row r="32" spans="1:12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 t="str">
        <f t="shared" si="0"/>
        <v>Standard Price</v>
      </c>
      <c r="F32" s="7">
        <v>5</v>
      </c>
      <c r="G32" s="7" t="s">
        <v>26</v>
      </c>
      <c r="H32" s="7" t="str">
        <f t="shared" si="1"/>
        <v>24</v>
      </c>
      <c r="I32" s="7" t="str">
        <f>RIGHT(Sheet1!A32,2)</f>
        <v>CA</v>
      </c>
      <c r="J32" s="7" t="str">
        <f t="shared" si="2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 t="str">
        <f t="shared" si="0"/>
        <v>Standard Price</v>
      </c>
      <c r="F33" s="8">
        <v>50</v>
      </c>
      <c r="G33" s="8" t="s">
        <v>30</v>
      </c>
      <c r="H33" s="8" t="str">
        <f t="shared" si="1"/>
        <v>02</v>
      </c>
      <c r="I33" s="8" t="str">
        <f>RIGHT(Sheet1!A33,2)</f>
        <v>CA</v>
      </c>
      <c r="J33" s="8" t="str">
        <f t="shared" si="2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 t="str">
        <f t="shared" si="0"/>
        <v>High Price</v>
      </c>
      <c r="F34" s="7">
        <v>25</v>
      </c>
      <c r="G34" s="7" t="s">
        <v>26</v>
      </c>
      <c r="H34" s="7" t="str">
        <f t="shared" si="1"/>
        <v>17</v>
      </c>
      <c r="I34" s="7" t="str">
        <f>RIGHT(Sheet1!A34,2)</f>
        <v>IN</v>
      </c>
      <c r="J34" s="7" t="str">
        <f t="shared" si="2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 t="str">
        <f t="shared" si="0"/>
        <v>Standard Price</v>
      </c>
      <c r="F35" s="8">
        <v>20</v>
      </c>
      <c r="G35" s="8" t="s">
        <v>70</v>
      </c>
      <c r="H35" s="8" t="str">
        <f t="shared" si="1"/>
        <v>09</v>
      </c>
      <c r="I35" s="8" t="str">
        <f>RIGHT(Sheet1!A35,2)</f>
        <v>FR</v>
      </c>
      <c r="J35" s="8" t="str">
        <f t="shared" si="2"/>
        <v>JUL</v>
      </c>
    </row>
    <row r="36" spans="1:10" ht="15.75" customHeight="1" x14ac:dyDescent="0.25">
      <c r="H36" s="7" t="str">
        <f t="shared" si="1"/>
        <v/>
      </c>
    </row>
    <row r="37" spans="1:10" ht="15.75" customHeight="1" x14ac:dyDescent="0.25">
      <c r="H37" s="7" t="str">
        <f t="shared" si="1"/>
        <v/>
      </c>
    </row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L2:M2"/>
    <mergeCell ref="L8:M8"/>
    <mergeCell ref="L13:M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2026-10-23T16:53:12Z</dcterms:created>
  <dcterms:modified xsi:type="dcterms:W3CDTF">2026-10-28T18:13:03Z</dcterms:modified>
  <cp:category/>
  <cp:contentStatus/>
</cp:coreProperties>
</file>